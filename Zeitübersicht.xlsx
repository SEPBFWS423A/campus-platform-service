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0052" windowHeight="9432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N24" i="1" l="1"/>
</calcChain>
</file>

<file path=xl/sharedStrings.xml><?xml version="1.0" encoding="utf-8"?>
<sst xmlns="http://schemas.openxmlformats.org/spreadsheetml/2006/main" count="65" uniqueCount="60">
  <si>
    <t>Stakeholder</t>
  </si>
  <si>
    <t xml:space="preserve">Patrice </t>
  </si>
  <si>
    <t>Marc</t>
  </si>
  <si>
    <t>Cenk</t>
  </si>
  <si>
    <t>Phillip</t>
  </si>
  <si>
    <t>Ádám</t>
  </si>
  <si>
    <t>Hannes</t>
  </si>
  <si>
    <t>Maurits</t>
  </si>
  <si>
    <t>Weekly#1</t>
  </si>
  <si>
    <t>Weekly#3</t>
  </si>
  <si>
    <t>Weekly#2</t>
  </si>
  <si>
    <t>23.3.</t>
  </si>
  <si>
    <t>23.2.</t>
  </si>
  <si>
    <t>16.3.</t>
  </si>
  <si>
    <t>Review#2</t>
  </si>
  <si>
    <t>Reviw#1</t>
  </si>
  <si>
    <t>19.3.</t>
  </si>
  <si>
    <t>Weekly#5</t>
  </si>
  <si>
    <t>VL</t>
  </si>
  <si>
    <t>Review#3</t>
  </si>
  <si>
    <t>Zeit:</t>
  </si>
  <si>
    <t>7.4.</t>
  </si>
  <si>
    <t>8.4.</t>
  </si>
  <si>
    <t>VL?</t>
  </si>
  <si>
    <t>9.4.</t>
  </si>
  <si>
    <t>Zeit</t>
  </si>
  <si>
    <t>14.4.</t>
  </si>
  <si>
    <t>15.4.</t>
  </si>
  <si>
    <t>16.4.</t>
  </si>
  <si>
    <t>Projektabschluss</t>
  </si>
  <si>
    <t>2 d WE</t>
  </si>
  <si>
    <t>4 d Ostern</t>
  </si>
  <si>
    <t>Wekly#4 ?</t>
  </si>
  <si>
    <t>4 WT</t>
  </si>
  <si>
    <t>2 WT</t>
  </si>
  <si>
    <t>Ostermontag</t>
  </si>
  <si>
    <t>6.4.</t>
  </si>
  <si>
    <t>0,5 WT</t>
  </si>
  <si>
    <t>1 WT</t>
  </si>
  <si>
    <t>!Marketing</t>
  </si>
  <si>
    <t>02.04.</t>
  </si>
  <si>
    <t>letzter Sprint tasächlich</t>
  </si>
  <si>
    <t>Bis vorheriger Spring tatsächlich</t>
  </si>
  <si>
    <t>Netto</t>
  </si>
  <si>
    <t>Brutto</t>
  </si>
  <si>
    <t>Nach Gewinn:</t>
  </si>
  <si>
    <t>Prüfung</t>
  </si>
  <si>
    <t>77 h</t>
  </si>
  <si>
    <t>138,5 h</t>
  </si>
  <si>
    <t>tatsächlich:</t>
  </si>
  <si>
    <t>Geplante arbeitszeit:</t>
  </si>
  <si>
    <t>(Meetings &amp; persönliche Arbeitszeiten)</t>
  </si>
  <si>
    <t>Berechnung der Kosten:</t>
  </si>
  <si>
    <t>Arbeitszeit in Stunden</t>
  </si>
  <si>
    <t>x</t>
  </si>
  <si>
    <t>1,19 (Steuern)</t>
  </si>
  <si>
    <t>1,2 (20% Gewinn)</t>
  </si>
  <si>
    <t xml:space="preserve">Stundenlohn: </t>
  </si>
  <si>
    <t>ges std:</t>
  </si>
  <si>
    <t xml:space="preserve">ges Kosten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</si>
</sst>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€&quot;;[Red]\-#,##0.00\ &quot;€&quot;"/>
  </numFmts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" fontId="0" fillId="5" borderId="0" xfId="0" applyNumberFormat="1" applyFill="1"/>
    <xf numFmtId="14" fontId="0" fillId="5" borderId="0" xfId="0" applyNumberFormat="1" applyFill="1"/>
    <xf numFmtId="0" fontId="0" fillId="7" borderId="0" xfId="0" applyFill="1"/>
    <xf numFmtId="0" fontId="1" fillId="0" borderId="0" xfId="0" applyFont="1"/>
    <xf numFmtId="8" fontId="0" fillId="0" borderId="0" xfId="0" applyNumberFormat="1"/>
    <xf numFmtId="8" fontId="1" fillId="0" borderId="0" xfId="0" applyNumberFormat="1" applyFont="1"/>
    <xf numFmtId="0" fontId="0" fillId="8" borderId="0" xfId="0" applyFill="1"/>
    <xf numFmtId="8" fontId="0" fillId="7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topLeftCell="D1" workbookViewId="0">
      <selection activeCell="K18" sqref="K18"/>
    </sheetView>
  </sheetViews>
  <sheetFormatPr baseColWidth="10" defaultRowHeight="14.4"/>
  <sheetData>
    <row r="1" spans="1:18">
      <c r="B1" s="4" t="s">
        <v>12</v>
      </c>
      <c r="C1" s="4"/>
      <c r="D1" s="6" t="s">
        <v>13</v>
      </c>
      <c r="E1" s="4" t="s">
        <v>16</v>
      </c>
      <c r="F1" s="7" t="s">
        <v>11</v>
      </c>
      <c r="G1" s="4"/>
      <c r="H1" s="4" t="s">
        <v>40</v>
      </c>
      <c r="I1" s="4"/>
      <c r="J1" s="4" t="s">
        <v>36</v>
      </c>
      <c r="K1" s="4"/>
      <c r="L1" s="4" t="s">
        <v>21</v>
      </c>
      <c r="M1" s="4" t="s">
        <v>22</v>
      </c>
      <c r="N1" s="4" t="s">
        <v>24</v>
      </c>
      <c r="O1" s="4"/>
      <c r="P1" s="4" t="s">
        <v>26</v>
      </c>
      <c r="Q1" s="4" t="s">
        <v>27</v>
      </c>
      <c r="R1" s="4" t="s">
        <v>28</v>
      </c>
    </row>
    <row r="2" spans="1:18">
      <c r="A2" s="5" t="s">
        <v>0</v>
      </c>
      <c r="B2" s="2" t="s">
        <v>8</v>
      </c>
      <c r="C2" s="2" t="s">
        <v>14</v>
      </c>
      <c r="D2" s="2" t="s">
        <v>10</v>
      </c>
      <c r="E2" s="2" t="s">
        <v>15</v>
      </c>
      <c r="F2" s="2" t="s">
        <v>9</v>
      </c>
      <c r="G2" s="2" t="s">
        <v>20</v>
      </c>
      <c r="H2" s="2" t="s">
        <v>32</v>
      </c>
      <c r="I2" s="2" t="s">
        <v>20</v>
      </c>
      <c r="J2" s="2" t="s">
        <v>17</v>
      </c>
      <c r="K2" s="2" t="s">
        <v>25</v>
      </c>
      <c r="L2" s="2" t="s">
        <v>18</v>
      </c>
      <c r="M2" s="2" t="s">
        <v>19</v>
      </c>
      <c r="N2" s="2" t="s">
        <v>23</v>
      </c>
      <c r="O2" s="2" t="s">
        <v>25</v>
      </c>
      <c r="P2" s="2" t="s">
        <v>29</v>
      </c>
      <c r="Q2" s="2" t="s">
        <v>46</v>
      </c>
      <c r="R2" s="1" t="s">
        <v>46</v>
      </c>
    </row>
    <row r="3" spans="1:18">
      <c r="A3" s="5" t="s">
        <v>1</v>
      </c>
      <c r="B3" s="2"/>
      <c r="C3" s="2"/>
      <c r="D3" s="2"/>
      <c r="E3" s="2"/>
      <c r="F3" s="2"/>
      <c r="G3" s="2" t="s">
        <v>33</v>
      </c>
      <c r="H3" s="2"/>
      <c r="I3" s="2" t="s">
        <v>34</v>
      </c>
      <c r="J3" s="2"/>
      <c r="K3" s="2" t="s">
        <v>37</v>
      </c>
      <c r="L3" s="2"/>
      <c r="M3" s="2"/>
      <c r="N3" s="2"/>
      <c r="O3" s="2" t="s">
        <v>38</v>
      </c>
      <c r="P3" s="2"/>
      <c r="Q3" s="2"/>
      <c r="R3" s="1"/>
    </row>
    <row r="4" spans="1:18">
      <c r="A4" s="5" t="s">
        <v>2</v>
      </c>
      <c r="B4" s="2"/>
      <c r="C4" s="2"/>
      <c r="D4" s="2"/>
      <c r="E4" s="2"/>
      <c r="F4" s="2"/>
      <c r="G4" s="2" t="s">
        <v>30</v>
      </c>
      <c r="H4" s="2"/>
      <c r="I4" s="2" t="s">
        <v>31</v>
      </c>
      <c r="J4" s="2"/>
      <c r="K4" s="2"/>
      <c r="L4" s="2"/>
      <c r="M4" s="2"/>
      <c r="N4" s="2"/>
      <c r="O4" s="2" t="s">
        <v>30</v>
      </c>
      <c r="P4" s="2"/>
      <c r="Q4" s="2"/>
      <c r="R4" s="1"/>
    </row>
    <row r="5" spans="1:18">
      <c r="A5" s="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"/>
    </row>
    <row r="6" spans="1:18">
      <c r="A6" s="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"/>
    </row>
    <row r="7" spans="1:18">
      <c r="A7" s="5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"/>
    </row>
    <row r="8" spans="1:18">
      <c r="A8" s="5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/>
    </row>
    <row r="9" spans="1:18">
      <c r="A9" s="5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"/>
    </row>
    <row r="10" spans="1:18">
      <c r="H10" s="3" t="s">
        <v>39</v>
      </c>
      <c r="J10" s="3" t="s">
        <v>35</v>
      </c>
    </row>
    <row r="12" spans="1:18">
      <c r="L12" t="s">
        <v>50</v>
      </c>
      <c r="N12" s="9" t="s">
        <v>47</v>
      </c>
    </row>
    <row r="13" spans="1:18">
      <c r="F13" s="12"/>
      <c r="G13" s="12"/>
      <c r="H13" s="12"/>
      <c r="I13" s="12"/>
      <c r="L13" s="9"/>
      <c r="M13" s="9" t="s">
        <v>49</v>
      </c>
      <c r="N13" s="9" t="s">
        <v>48</v>
      </c>
    </row>
    <row r="14" spans="1:18">
      <c r="F14" s="12" t="s">
        <v>52</v>
      </c>
      <c r="G14" s="12"/>
      <c r="H14" s="12"/>
      <c r="I14" s="12"/>
      <c r="N14" s="9" t="s">
        <v>41</v>
      </c>
      <c r="Q14" s="9" t="s">
        <v>42</v>
      </c>
    </row>
    <row r="15" spans="1:18">
      <c r="F15" s="12"/>
      <c r="G15" s="12" t="s">
        <v>53</v>
      </c>
      <c r="H15" s="12"/>
      <c r="I15" s="12"/>
      <c r="M15" s="9"/>
      <c r="O15" s="9"/>
      <c r="P15" s="9"/>
      <c r="Q15" s="9" t="s">
        <v>51</v>
      </c>
    </row>
    <row r="16" spans="1:18">
      <c r="F16" s="12" t="s">
        <v>54</v>
      </c>
      <c r="G16" s="12" t="s">
        <v>55</v>
      </c>
      <c r="H16" s="12"/>
      <c r="I16" s="12"/>
      <c r="M16" s="9" t="s">
        <v>43</v>
      </c>
      <c r="N16" s="11">
        <v>2887.5</v>
      </c>
      <c r="O16" s="9"/>
      <c r="P16" s="9"/>
      <c r="Q16" s="11">
        <v>5193.75</v>
      </c>
    </row>
    <row r="17" spans="6:17">
      <c r="F17" s="12" t="s">
        <v>54</v>
      </c>
      <c r="G17" s="12" t="s">
        <v>56</v>
      </c>
      <c r="H17" s="12"/>
      <c r="I17" s="12"/>
      <c r="M17" s="9"/>
      <c r="N17" s="9"/>
      <c r="O17" s="9"/>
      <c r="P17" s="9"/>
      <c r="Q17" s="9"/>
    </row>
    <row r="18" spans="6:17">
      <c r="F18" s="12"/>
      <c r="G18" s="12"/>
      <c r="H18" s="12"/>
      <c r="I18" s="12"/>
      <c r="M18" s="9" t="s">
        <v>44</v>
      </c>
      <c r="N18" s="11">
        <v>3436.12</v>
      </c>
      <c r="O18" s="9"/>
      <c r="P18" s="9"/>
      <c r="Q18" s="11">
        <v>6180.56</v>
      </c>
    </row>
    <row r="19" spans="6:17">
      <c r="F19" s="8"/>
      <c r="G19" s="8"/>
      <c r="H19" s="8"/>
      <c r="I19" s="8"/>
      <c r="M19" s="9"/>
      <c r="N19" s="9"/>
      <c r="O19" s="9"/>
      <c r="P19" s="9"/>
      <c r="Q19" s="9"/>
    </row>
    <row r="20" spans="6:17">
      <c r="F20" s="8" t="s">
        <v>57</v>
      </c>
      <c r="G20" s="13">
        <v>37.5</v>
      </c>
      <c r="H20" s="8"/>
      <c r="I20" s="8"/>
      <c r="M20" s="9" t="s">
        <v>45</v>
      </c>
      <c r="N20" s="11">
        <v>4123.3500000000004</v>
      </c>
      <c r="O20" s="9"/>
      <c r="P20" s="9"/>
      <c r="Q20" s="11">
        <v>7416.67</v>
      </c>
    </row>
    <row r="21" spans="6:17">
      <c r="F21" s="8"/>
      <c r="G21" s="8"/>
      <c r="H21" s="8"/>
      <c r="I21" s="8"/>
    </row>
    <row r="22" spans="6:17">
      <c r="F22" s="8"/>
      <c r="G22" s="8"/>
      <c r="H22" s="8"/>
      <c r="I22" s="8"/>
    </row>
    <row r="23" spans="6:17">
      <c r="M23" s="9" t="s">
        <v>58</v>
      </c>
      <c r="N23" s="9">
        <v>215.5</v>
      </c>
    </row>
    <row r="24" spans="6:17">
      <c r="M24" t="s">
        <v>59</v>
      </c>
      <c r="N24" s="10">
        <f xml:space="preserve"> N20+Q20</f>
        <v>11540.02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2026-03-23T10:17:57Z</dcterms:created>
  <dcterms:modified xsi:type="dcterms:W3CDTF">2026-04-15T17:16:40Z</dcterms:modified>
</cp:coreProperties>
</file>